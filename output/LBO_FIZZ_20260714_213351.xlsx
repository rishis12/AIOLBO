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5" fontId="2" fillId="4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5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1" authorId="0" shapeId="0">
      <text>
        <t>Defaulted — not reported (may be debt-free)</t>
      </text>
    </commen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National Beverage Corp.</t>
        </is>
      </c>
    </row>
    <row r="4">
      <c r="B4" s="2" t="inlineStr">
        <is>
          <t>Ticker</t>
        </is>
      </c>
      <c r="C4" s="2" t="inlineStr">
        <is>
          <t>FIZZ</t>
        </is>
      </c>
    </row>
    <row r="5">
      <c r="B5" s="2" t="inlineStr">
        <is>
          <t>CIK</t>
        </is>
      </c>
      <c r="C5" s="2" t="n">
        <v>879993</v>
      </c>
    </row>
    <row r="6">
      <c r="B6" s="2" t="inlineStr">
        <is>
          <t>SIC Code / Sector</t>
        </is>
      </c>
      <c r="C6" s="2" t="inlineStr">
        <is>
          <t>2086 - Bottled &amp; Canned Soft Drinks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45.2</v>
      </c>
    </row>
    <row r="10">
      <c r="B10" s="2" t="inlineStr">
        <is>
          <t>Shares Outstanding</t>
        </is>
      </c>
      <c r="C10" s="5" t="n">
        <v>46200000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1184800000</v>
      </c>
      <c r="D15" s="10" t="n">
        <v>1171500000</v>
      </c>
      <c r="E15" s="10" t="n">
        <v>1148600000</v>
      </c>
      <c r="F15" s="10" t="n">
        <v>1075000000</v>
      </c>
      <c r="G15" s="10" t="n">
        <v>1014000000</v>
      </c>
    </row>
    <row r="16">
      <c r="B16" s="2" t="inlineStr">
        <is>
          <t>Operating Income</t>
        </is>
      </c>
      <c r="C16" s="10" t="n">
        <v>174200000</v>
      </c>
      <c r="D16" s="10" t="n">
        <v>201500000</v>
      </c>
      <c r="E16" s="10" t="n">
        <v>183400000</v>
      </c>
      <c r="F16" s="10" t="n">
        <v>205000000</v>
      </c>
      <c r="G16" s="10" t="n">
        <v>181000000</v>
      </c>
    </row>
    <row r="17">
      <c r="B17" s="2" t="inlineStr">
        <is>
          <t>D&amp;A</t>
        </is>
      </c>
      <c r="C17" s="10" t="n">
        <v>32500000</v>
      </c>
      <c r="D17" s="10" t="n">
        <v>30200000</v>
      </c>
      <c r="E17" s="10" t="n">
        <v>28900000</v>
      </c>
      <c r="F17" s="10" t="n">
        <v>26800000</v>
      </c>
      <c r="G17" s="10" t="n">
        <v>25100000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1" t="n">
        <v>0</v>
      </c>
    </row>
    <row r="22">
      <c r="B22" s="2" t="inlineStr">
        <is>
          <t>Cash &amp; Equivalents</t>
        </is>
      </c>
      <c r="C22" s="10" t="n">
        <v>145000000</v>
      </c>
    </row>
    <row r="23">
      <c r="B23" s="2" t="inlineStr">
        <is>
          <t>Capital Expenditures</t>
        </is>
      </c>
      <c r="C23" s="10" t="n">
        <v>28000000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2" t="n">
        <v>0.0399782971201999</v>
      </c>
    </row>
    <row r="29">
      <c r="B29" s="2" t="inlineStr">
        <is>
          <t>EBITDA Margin %</t>
        </is>
      </c>
      <c r="C29" s="12" t="n">
        <v>0.1744598244429439</v>
      </c>
    </row>
    <row r="30">
      <c r="B30" s="2" t="inlineStr">
        <is>
          <t>Entry EV/EBITDA Multiple</t>
        </is>
      </c>
      <c r="C30" s="13" t="n">
        <v>8</v>
      </c>
    </row>
    <row r="31">
      <c r="B31" s="2" t="inlineStr">
        <is>
          <t>Offer Premium %</t>
        </is>
      </c>
      <c r="C31" s="12" t="n">
        <v>0.25</v>
      </c>
    </row>
    <row r="32">
      <c r="B32" s="2" t="inlineStr">
        <is>
          <t>Leverage Multiple</t>
        </is>
      </c>
      <c r="C32" s="13" t="n">
        <v>5.5</v>
      </c>
    </row>
    <row r="33">
      <c r="B33" s="2" t="inlineStr">
        <is>
          <t>Interest Rate</t>
        </is>
      </c>
      <c r="C33" s="12" t="n">
        <v>0.08</v>
      </c>
    </row>
    <row r="34">
      <c r="B34" s="2" t="inlineStr">
        <is>
          <t>Tax Rate</t>
        </is>
      </c>
      <c r="C34" s="12" t="n">
        <v>0.25</v>
      </c>
    </row>
    <row r="35">
      <c r="B35" s="2" t="inlineStr">
        <is>
          <t>CapEx % of Revenue</t>
        </is>
      </c>
      <c r="C35" s="12" t="n">
        <v>0.02363268062120189</v>
      </c>
    </row>
    <row r="36">
      <c r="B36" s="2" t="inlineStr">
        <is>
          <t>D&amp;A % of Revenue</t>
        </is>
      </c>
      <c r="C36" s="12" t="n">
        <v>0.0274307900067522</v>
      </c>
    </row>
    <row r="37">
      <c r="B37" s="2" t="inlineStr">
        <is>
          <t>Change in NWC % of Revenue</t>
        </is>
      </c>
      <c r="C37" s="12" t="n">
        <v>0</v>
      </c>
    </row>
    <row r="38">
      <c r="B38" s="2" t="inlineStr">
        <is>
          <t>Exit Year</t>
        </is>
      </c>
      <c r="C38" s="14" t="n">
        <v>5</v>
      </c>
    </row>
    <row r="39">
      <c r="B39" s="6" t="inlineStr">
        <is>
          <t>Exit EV/EBITDA Multiple</t>
        </is>
      </c>
      <c r="C39" s="15">
        <f>C30</f>
        <v/>
      </c>
    </row>
    <row r="40">
      <c r="B40" s="2" t="inlineStr">
        <is>
          <t>Transaction Fee %</t>
        </is>
      </c>
      <c r="C40" s="12" t="n">
        <v>0.02</v>
      </c>
    </row>
    <row r="41">
      <c r="B41" s="2" t="inlineStr">
        <is>
          <t>Mandatory Amortization %</t>
        </is>
      </c>
      <c r="C41" s="12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6" t="inlineStr">
        <is>
          <t>Total Uses</t>
        </is>
      </c>
      <c r="C6" s="17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6" t="inlineStr">
        <is>
          <t>Total Sources</t>
        </is>
      </c>
      <c r="C14" s="17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6" t="inlineStr"/>
      <c r="C3" s="18" t="inlineStr">
        <is>
          <t>Year 1
(FY2025)</t>
        </is>
      </c>
      <c r="D3" s="18" t="inlineStr">
        <is>
          <t>Year 2
(FY2026)</t>
        </is>
      </c>
      <c r="E3" s="18" t="inlineStr">
        <is>
          <t>Year 3
(FY2027)</t>
        </is>
      </c>
      <c r="F3" s="18" t="inlineStr">
        <is>
          <t>Year 4
(FY2028)</t>
        </is>
      </c>
      <c r="G3" s="18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6" t="inlineStr">
        <is>
          <t>EBIT</t>
        </is>
      </c>
      <c r="C9" s="19">
        <f>C7-C8</f>
        <v/>
      </c>
      <c r="D9" s="19">
        <f>D7-D8</f>
        <v/>
      </c>
      <c r="E9" s="19">
        <f>E7-E8</f>
        <v/>
      </c>
      <c r="F9" s="19">
        <f>F7-F8</f>
        <v/>
      </c>
      <c r="G9" s="19">
        <f>G7-G8</f>
        <v/>
      </c>
    </row>
    <row r="10">
      <c r="B10" s="6" t="inlineStr">
        <is>
          <t>Less: Interest Expense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6" t="inlineStr">
        <is>
          <t>Net Income</t>
        </is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  <c r="G13" s="17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6" t="inlineStr">
        <is>
          <t>Free Cash Flow for Debt Paydown</t>
        </is>
      </c>
      <c r="C20" s="17">
        <f>C16+C17-C18-C19</f>
        <v/>
      </c>
      <c r="D20" s="17">
        <f>D16+D17-D18-D19</f>
        <v/>
      </c>
      <c r="E20" s="17">
        <f>E16+E17-E18-E19</f>
        <v/>
      </c>
      <c r="F20" s="17">
        <f>F16+F17-F18-F19</f>
        <v/>
      </c>
      <c r="G20" s="17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1">
        <f>C7/C6</f>
        <v/>
      </c>
      <c r="D23" s="21">
        <f>D7/D6</f>
        <v/>
      </c>
      <c r="E23" s="21">
        <f>E7/E6</f>
        <v/>
      </c>
      <c r="F23" s="21">
        <f>F7/F6</f>
        <v/>
      </c>
      <c r="G23" s="21">
        <f>G7/G6</f>
        <v/>
      </c>
    </row>
    <row r="24">
      <c r="B24" s="6" t="inlineStr">
        <is>
          <t>FCF Conversion % (FCF/EBITDA)</t>
        </is>
      </c>
      <c r="C24" s="21">
        <f>IF(C7=0,0,C20/C7)</f>
        <v/>
      </c>
      <c r="D24" s="21">
        <f>IF(D7=0,0,D20/D7)</f>
        <v/>
      </c>
      <c r="E24" s="21">
        <f>IF(E7=0,0,E20/E7)</f>
        <v/>
      </c>
      <c r="F24" s="21">
        <f>IF(F7=0,0,F20/F7)</f>
        <v/>
      </c>
      <c r="G24" s="21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2026-07-15T04:33:51Z</dcterms:created>
  <dcterms:modified xsi:type="dcterms:W3CDTF">2026-07-15T04:33:51Z</dcterms:modified>
</cp:coreProperties>
</file>