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Revenue">'Assumptions'!$C$15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  <definedName name="ExitEBITDA">'Operating Model'!G7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B366"/>
        <bgColor rgb="00FFB366"/>
      </patternFill>
    </fill>
  </fills>
  <borders count="3">
    <border>
      <left/>
      <right/>
      <top/>
      <bottom/>
      <diagonal/>
    </border>
    <border>
      <top style="thin"/>
      <bottom style="double"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6" fontId="2" fillId="4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0" fontId="3" fillId="0" borderId="0" applyAlignment="1" pivotButton="0" quotePrefix="0" xfId="0">
      <alignment horizontal="center" wrapText="1"/>
    </xf>
    <xf numFmtId="165" fontId="3" fillId="0" borderId="2" pivotButton="0" quotePrefix="0" xfId="0"/>
    <xf numFmtId="165" fontId="4" fillId="4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C28" authorId="0" shapeId="0">
      <text>
        <t>Historical growth rate (45.6%) was implausible (likely COVID-era distortion) — defaulted to 3%, please review and adjust manually.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C10" authorId="0" shapeId="0">
      <text>
        <t>PLACEHOLDER - will be replaced with a reference to the Debt Schedule tab once built.</t>
      </text>
    </comment>
    <comment ref="D10" authorId="0" shapeId="0">
      <text>
        <t>PLACEHOLDER - will be replaced with a reference to the Debt Schedule tab once built.</t>
      </text>
    </comment>
    <comment ref="E10" authorId="0" shapeId="0">
      <text>
        <t>PLACEHOLDER - will be replaced with a reference to the Debt Schedule tab once built.</t>
      </text>
    </comment>
    <comment ref="F10" authorId="0" shapeId="0">
      <text>
        <t>PLACEHOLDER - will be replaced with a reference to the Debt Schedule tab once built.</t>
      </text>
    </comment>
    <comment ref="G10" authorId="0" shapeId="0">
      <text>
        <t>PLACEHOLDER - will be replaced with a reference to the Debt Schedule tab once built.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Carnival Corporation</t>
        </is>
      </c>
    </row>
    <row r="4">
      <c r="B4" s="2" t="inlineStr">
        <is>
          <t>Ticker</t>
        </is>
      </c>
      <c r="C4" s="2" t="inlineStr">
        <is>
          <t>CCL</t>
        </is>
      </c>
    </row>
    <row r="5">
      <c r="B5" s="2" t="inlineStr">
        <is>
          <t>CIK</t>
        </is>
      </c>
      <c r="C5" s="2" t="n">
        <v>815097</v>
      </c>
    </row>
    <row r="6">
      <c r="B6" s="2" t="inlineStr">
        <is>
          <t>SIC Code / Sector</t>
        </is>
      </c>
      <c r="C6" s="2" t="inlineStr">
        <is>
          <t>4481 - Deep Sea Foreign Transportation of Passengers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18.75</v>
      </c>
    </row>
    <row r="10">
      <c r="B10" s="2" t="inlineStr">
        <is>
          <t>Shares Outstanding</t>
        </is>
      </c>
      <c r="C10" s="5" t="n">
        <v>1270000000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24530000000</v>
      </c>
      <c r="D15" s="10" t="n">
        <v>21630000000</v>
      </c>
      <c r="E15" s="10" t="n">
        <v>12169000000</v>
      </c>
      <c r="F15" s="10" t="n">
        <v>1908000000</v>
      </c>
      <c r="G15" s="10" t="n">
        <v>5595000000</v>
      </c>
    </row>
    <row r="16">
      <c r="B16" s="2" t="inlineStr">
        <is>
          <t>Operating Income</t>
        </is>
      </c>
      <c r="C16" s="10" t="n">
        <v>3265000000</v>
      </c>
      <c r="D16" s="10" t="n">
        <v>1958000000</v>
      </c>
      <c r="E16" s="10" t="n">
        <v>-3865000000</v>
      </c>
      <c r="F16" s="10" t="n">
        <v>-7810000000</v>
      </c>
      <c r="G16" s="10" t="n">
        <v>-8878000000</v>
      </c>
    </row>
    <row r="17">
      <c r="B17" s="2" t="inlineStr">
        <is>
          <t>D&amp;A</t>
        </is>
      </c>
      <c r="C17" s="10" t="n">
        <v>2800000000</v>
      </c>
      <c r="D17" s="10" t="n">
        <v>2600000000</v>
      </c>
      <c r="E17" s="10" t="n">
        <v>2500000000</v>
      </c>
      <c r="F17" s="10" t="n">
        <v>2380000000</v>
      </c>
      <c r="G17" s="10" t="n">
        <v>2340000000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0" t="n">
        <v>31500000000</v>
      </c>
    </row>
    <row r="22">
      <c r="B22" s="2" t="inlineStr">
        <is>
          <t>Cash &amp; Equivalents</t>
        </is>
      </c>
      <c r="C22" s="10" t="n">
        <v>1850000000</v>
      </c>
    </row>
    <row r="23">
      <c r="B23" s="2" t="inlineStr">
        <is>
          <t>Capital Expenditures</t>
        </is>
      </c>
      <c r="C23" s="10" t="n">
        <v>4200000000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1" t="n">
        <v>0.03</v>
      </c>
    </row>
    <row r="29">
      <c r="B29" s="2" t="inlineStr">
        <is>
          <t>EBITDA Margin %</t>
        </is>
      </c>
      <c r="C29" s="12" t="n">
        <v>0.2472482674276396</v>
      </c>
    </row>
    <row r="30">
      <c r="B30" s="2" t="inlineStr">
        <is>
          <t>Entry EV/EBITDA Multiple</t>
        </is>
      </c>
      <c r="C30" s="13" t="n">
        <v>8</v>
      </c>
    </row>
    <row r="31">
      <c r="B31" s="2" t="inlineStr">
        <is>
          <t>Offer Premium %</t>
        </is>
      </c>
      <c r="C31" s="12" t="n">
        <v>0.25</v>
      </c>
    </row>
    <row r="32">
      <c r="B32" s="2" t="inlineStr">
        <is>
          <t>Leverage Multiple</t>
        </is>
      </c>
      <c r="C32" s="13" t="n">
        <v>5.5</v>
      </c>
    </row>
    <row r="33">
      <c r="B33" s="2" t="inlineStr">
        <is>
          <t>Interest Rate</t>
        </is>
      </c>
      <c r="C33" s="12" t="n">
        <v>0.08</v>
      </c>
    </row>
    <row r="34">
      <c r="B34" s="2" t="inlineStr">
        <is>
          <t>Tax Rate</t>
        </is>
      </c>
      <c r="C34" s="12" t="n">
        <v>0.25</v>
      </c>
    </row>
    <row r="35">
      <c r="B35" s="2" t="inlineStr">
        <is>
          <t>CapEx % of Revenue</t>
        </is>
      </c>
      <c r="C35" s="12" t="n">
        <v>0.1712189156135344</v>
      </c>
    </row>
    <row r="36">
      <c r="B36" s="2" t="inlineStr">
        <is>
          <t>D&amp;A % of Revenue</t>
        </is>
      </c>
      <c r="C36" s="12" t="n">
        <v>0.1141459437423563</v>
      </c>
    </row>
    <row r="37">
      <c r="B37" s="2" t="inlineStr">
        <is>
          <t>Change in NWC % of Revenue</t>
        </is>
      </c>
      <c r="C37" s="12" t="n">
        <v>0</v>
      </c>
    </row>
    <row r="38">
      <c r="B38" s="2" t="inlineStr">
        <is>
          <t>Exit Year</t>
        </is>
      </c>
      <c r="C38" s="14" t="n">
        <v>5</v>
      </c>
    </row>
    <row r="39">
      <c r="B39" s="6" t="inlineStr">
        <is>
          <t>Exit EV/EBITDA Multiple</t>
        </is>
      </c>
      <c r="C39" s="15">
        <f>C30</f>
        <v/>
      </c>
    </row>
    <row r="40">
      <c r="B40" s="2" t="inlineStr">
        <is>
          <t>Transaction Fee %</t>
        </is>
      </c>
      <c r="C40" s="12" t="n">
        <v>0.02</v>
      </c>
    </row>
    <row r="41">
      <c r="B41" s="2" t="inlineStr">
        <is>
          <t>Mandatory Amortization %</t>
        </is>
      </c>
      <c r="C41" s="12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6" t="inlineStr">
        <is>
          <t>Total Uses</t>
        </is>
      </c>
      <c r="C6" s="17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6" t="inlineStr">
        <is>
          <t>Total Sources</t>
        </is>
      </c>
      <c r="C14" s="17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OPERATING MODEL (Projected)</t>
        </is>
      </c>
    </row>
    <row r="3">
      <c r="B3" s="16" t="inlineStr"/>
      <c r="C3" s="18" t="inlineStr">
        <is>
          <t>Year 1
(FY2025)</t>
        </is>
      </c>
      <c r="D3" s="18" t="inlineStr">
        <is>
          <t>Year 2
(FY2026)</t>
        </is>
      </c>
      <c r="E3" s="18" t="inlineStr">
        <is>
          <t>Year 3
(FY2027)</t>
        </is>
      </c>
      <c r="F3" s="18" t="inlineStr">
        <is>
          <t>Year 4
(FY2028)</t>
        </is>
      </c>
      <c r="G3" s="18" t="inlineStr">
        <is>
          <t>Year 5
(FY2029)</t>
        </is>
      </c>
    </row>
    <row r="5">
      <c r="B5" s="3" t="inlineStr">
        <is>
          <t>Income Statement</t>
        </is>
      </c>
    </row>
    <row r="6">
      <c r="B6" s="6" t="inlineStr">
        <is>
          <t>Revenue</t>
        </is>
      </c>
      <c r="C6" s="7">
        <f>EntryRevenue*(1+RevenueGrowthRate)</f>
        <v/>
      </c>
      <c r="D6" s="7">
        <f>C6*(1+RevenueGrowthRate)</f>
        <v/>
      </c>
      <c r="E6" s="7">
        <f>D6*(1+RevenueGrowthRate)</f>
        <v/>
      </c>
      <c r="F6" s="7">
        <f>E6*(1+RevenueGrowthRate)</f>
        <v/>
      </c>
      <c r="G6" s="7">
        <f>F6*(1+RevenueGrowthRate)</f>
        <v/>
      </c>
    </row>
    <row r="7">
      <c r="B7" s="6" t="inlineStr">
        <is>
          <t>EBITDA</t>
        </is>
      </c>
      <c r="C7" s="7">
        <f>C6*EBITDAMargin</f>
        <v/>
      </c>
      <c r="D7" s="7">
        <f>D6*EBITDAMargin</f>
        <v/>
      </c>
      <c r="E7" s="7">
        <f>E6*EBITDAMargin</f>
        <v/>
      </c>
      <c r="F7" s="7">
        <f>F6*EBITDAMargin</f>
        <v/>
      </c>
      <c r="G7" s="7">
        <f>G6*EBITDAMargin</f>
        <v/>
      </c>
    </row>
    <row r="8">
      <c r="B8" s="6" t="inlineStr">
        <is>
          <t>Less: D&amp;A</t>
        </is>
      </c>
      <c r="C8" s="7">
        <f>C6*DAPct</f>
        <v/>
      </c>
      <c r="D8" s="7">
        <f>D6*DAPct</f>
        <v/>
      </c>
      <c r="E8" s="7">
        <f>E6*DAPct</f>
        <v/>
      </c>
      <c r="F8" s="7">
        <f>F6*DAPct</f>
        <v/>
      </c>
      <c r="G8" s="7">
        <f>G6*DAPct</f>
        <v/>
      </c>
    </row>
    <row r="9">
      <c r="B9" s="16" t="inlineStr">
        <is>
          <t>EBIT</t>
        </is>
      </c>
      <c r="C9" s="19">
        <f>C7-C8</f>
        <v/>
      </c>
      <c r="D9" s="19">
        <f>D7-D8</f>
        <v/>
      </c>
      <c r="E9" s="19">
        <f>E7-E8</f>
        <v/>
      </c>
      <c r="F9" s="19">
        <f>F7-F8</f>
        <v/>
      </c>
      <c r="G9" s="19">
        <f>G7-G8</f>
        <v/>
      </c>
    </row>
    <row r="10">
      <c r="B10" s="6" t="inlineStr">
        <is>
          <t>Less: Interest Expense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</row>
    <row r="11">
      <c r="B11" s="6" t="inlineStr">
        <is>
          <t>Pre-Tax Income</t>
        </is>
      </c>
      <c r="C11" s="7">
        <f>C9-C10</f>
        <v/>
      </c>
      <c r="D11" s="7">
        <f>D9-D10</f>
        <v/>
      </c>
      <c r="E11" s="7">
        <f>E9-E10</f>
        <v/>
      </c>
      <c r="F11" s="7">
        <f>F9-F10</f>
        <v/>
      </c>
      <c r="G11" s="7">
        <f>G9-G10</f>
        <v/>
      </c>
    </row>
    <row r="12">
      <c r="B12" s="6" t="inlineStr">
        <is>
          <t>Less: Taxes</t>
        </is>
      </c>
      <c r="C12" s="7">
        <f>MAX(0,C11*TaxRate)</f>
        <v/>
      </c>
      <c r="D12" s="7">
        <f>MAX(0,D11*TaxRate)</f>
        <v/>
      </c>
      <c r="E12" s="7">
        <f>MAX(0,E11*TaxRate)</f>
        <v/>
      </c>
      <c r="F12" s="7">
        <f>MAX(0,F11*TaxRate)</f>
        <v/>
      </c>
      <c r="G12" s="7">
        <f>MAX(0,G11*TaxRate)</f>
        <v/>
      </c>
    </row>
    <row r="13">
      <c r="B13" s="16" t="inlineStr">
        <is>
          <t>Net Income</t>
        </is>
      </c>
      <c r="C13" s="17">
        <f>C11-C12</f>
        <v/>
      </c>
      <c r="D13" s="17">
        <f>D11-D12</f>
        <v/>
      </c>
      <c r="E13" s="17">
        <f>E11-E12</f>
        <v/>
      </c>
      <c r="F13" s="17">
        <f>F11-F12</f>
        <v/>
      </c>
      <c r="G13" s="17">
        <f>G11-G12</f>
        <v/>
      </c>
    </row>
    <row r="15">
      <c r="B15" s="3" t="inlineStr">
        <is>
          <t>Free Cash Flow Build</t>
        </is>
      </c>
    </row>
    <row r="16">
      <c r="B16" s="6" t="inlineStr">
        <is>
          <t>Net Income</t>
        </is>
      </c>
      <c r="C16" s="7">
        <f>C13</f>
        <v/>
      </c>
      <c r="D16" s="7">
        <f>D13</f>
        <v/>
      </c>
      <c r="E16" s="7">
        <f>E13</f>
        <v/>
      </c>
      <c r="F16" s="7">
        <f>F13</f>
        <v/>
      </c>
      <c r="G16" s="7">
        <f>G13</f>
        <v/>
      </c>
    </row>
    <row r="17">
      <c r="B17" s="6" t="inlineStr">
        <is>
          <t>Plus: D&amp;A (non-cash add-back)</t>
        </is>
      </c>
      <c r="C17" s="7">
        <f>C8</f>
        <v/>
      </c>
      <c r="D17" s="7">
        <f>D8</f>
        <v/>
      </c>
      <c r="E17" s="7">
        <f>E8</f>
        <v/>
      </c>
      <c r="F17" s="7">
        <f>F8</f>
        <v/>
      </c>
      <c r="G17" s="7">
        <f>G8</f>
        <v/>
      </c>
    </row>
    <row r="18">
      <c r="B18" s="6" t="inlineStr">
        <is>
          <t>Less: CapEx</t>
        </is>
      </c>
      <c r="C18" s="7">
        <f>C6*CapExPct</f>
        <v/>
      </c>
      <c r="D18" s="7">
        <f>D6*CapExPct</f>
        <v/>
      </c>
      <c r="E18" s="7">
        <f>E6*CapExPct</f>
        <v/>
      </c>
      <c r="F18" s="7">
        <f>F6*CapExPct</f>
        <v/>
      </c>
      <c r="G18" s="7">
        <f>G6*CapExPct</f>
        <v/>
      </c>
    </row>
    <row r="19">
      <c r="B19" s="6" t="inlineStr">
        <is>
          <t>Less: Change in NWC</t>
        </is>
      </c>
      <c r="C19" s="7">
        <f>C6*NWCPct</f>
        <v/>
      </c>
      <c r="D19" s="7">
        <f>D6*NWCPct</f>
        <v/>
      </c>
      <c r="E19" s="7">
        <f>E6*NWCPct</f>
        <v/>
      </c>
      <c r="F19" s="7">
        <f>F6*NWCPct</f>
        <v/>
      </c>
      <c r="G19" s="7">
        <f>G6*NWCPct</f>
        <v/>
      </c>
    </row>
    <row r="20">
      <c r="B20" s="16" t="inlineStr">
        <is>
          <t>Free Cash Flow for Debt Paydown</t>
        </is>
      </c>
      <c r="C20" s="17">
        <f>C16+C17-C18-C19</f>
        <v/>
      </c>
      <c r="D20" s="17">
        <f>D16+D17-D18-D19</f>
        <v/>
      </c>
      <c r="E20" s="17">
        <f>E16+E17-E18-E19</f>
        <v/>
      </c>
      <c r="F20" s="17">
        <f>F16+F17-F18-F19</f>
        <v/>
      </c>
      <c r="G20" s="17">
        <f>G16+G17-G18-G19</f>
        <v/>
      </c>
    </row>
    <row r="22">
      <c r="B22" s="3" t="inlineStr">
        <is>
          <t>Key Metrics</t>
        </is>
      </c>
    </row>
    <row r="23">
      <c r="B23" s="6" t="inlineStr">
        <is>
          <t>EBITDA Margin %</t>
        </is>
      </c>
      <c r="C23" s="21">
        <f>C7/C6</f>
        <v/>
      </c>
      <c r="D23" s="21">
        <f>D7/D6</f>
        <v/>
      </c>
      <c r="E23" s="21">
        <f>E7/E6</f>
        <v/>
      </c>
      <c r="F23" s="21">
        <f>F7/F6</f>
        <v/>
      </c>
      <c r="G23" s="21">
        <f>G7/G6</f>
        <v/>
      </c>
    </row>
    <row r="24">
      <c r="B24" s="6" t="inlineStr">
        <is>
          <t>FCF Conversion % (FCF/EBITDA)</t>
        </is>
      </c>
      <c r="C24" s="21">
        <f>IF(C7=0,0,C20/C7)</f>
        <v/>
      </c>
      <c r="D24" s="21">
        <f>IF(D7=0,0,D20/D7)</f>
        <v/>
      </c>
      <c r="E24" s="21">
        <f>IF(E7=0,0,E20/E7)</f>
        <v/>
      </c>
      <c r="F24" s="21">
        <f>IF(F7=0,0,F20/F7)</f>
        <v/>
      </c>
      <c r="G24" s="21">
        <f>IF(G7=0,0,G20/G7)</f>
        <v/>
      </c>
    </row>
  </sheetData>
  <mergeCells count="4">
    <mergeCell ref="B5:G5"/>
    <mergeCell ref="B22:G22"/>
    <mergeCell ref="B15:G15"/>
    <mergeCell ref="B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2026-07-15T04:38:32Z</dcterms:created>
  <dcterms:modified xsi:type="dcterms:W3CDTF">2026-07-15T04:38:32Z</dcterms:modified>
</cp:coreProperties>
</file>