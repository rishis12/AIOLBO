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Apple Inc.</t>
        </is>
      </c>
    </row>
    <row r="4">
      <c r="B4" s="2" t="inlineStr">
        <is>
          <t>Ticker</t>
        </is>
      </c>
      <c r="C4" s="2" t="inlineStr">
        <is>
          <t>AAPL</t>
        </is>
      </c>
    </row>
    <row r="5">
      <c r="B5" s="2" t="inlineStr">
        <is>
          <t>CIK</t>
        </is>
      </c>
      <c r="C5" s="2" t="n">
        <v>320193</v>
      </c>
    </row>
    <row r="6">
      <c r="B6" s="2" t="inlineStr">
        <is>
          <t>SIC Code / Sector</t>
        </is>
      </c>
      <c r="C6" s="2" t="inlineStr">
        <is>
          <t>3571 - Electronic Computers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195.5</v>
      </c>
    </row>
    <row r="10">
      <c r="B10" s="2" t="inlineStr">
        <is>
          <t>Shares Outstanding</t>
        </is>
      </c>
      <c r="C10" s="5" t="n">
        <v>15500000000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383285000000</v>
      </c>
      <c r="D15" s="10" t="n">
        <v>394328000000</v>
      </c>
      <c r="E15" s="10" t="n">
        <v>365817000000</v>
      </c>
      <c r="F15" s="10" t="n">
        <v>274515000000</v>
      </c>
      <c r="G15" s="10" t="n">
        <v>274515000000</v>
      </c>
    </row>
    <row r="16">
      <c r="B16" s="2" t="inlineStr">
        <is>
          <t>Operating Income</t>
        </is>
      </c>
      <c r="C16" s="10" t="n">
        <v>114301000000</v>
      </c>
      <c r="D16" s="10" t="n">
        <v>114301000000</v>
      </c>
      <c r="E16" s="10" t="n">
        <v>119437000000</v>
      </c>
      <c r="F16" s="10" t="n">
        <v>108949000000</v>
      </c>
      <c r="G16" s="10" t="n">
        <v>66288000000</v>
      </c>
    </row>
    <row r="17">
      <c r="B17" s="2" t="inlineStr">
        <is>
          <t>D&amp;A</t>
        </is>
      </c>
      <c r="C17" s="10" t="n">
        <v>11200000000</v>
      </c>
      <c r="D17" s="10" t="n">
        <v>11519000000</v>
      </c>
      <c r="E17" s="10" t="n">
        <v>11104000000</v>
      </c>
      <c r="F17" s="10" t="n">
        <v>11284000000</v>
      </c>
      <c r="G17" s="10" t="n">
        <v>11056000000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111088000000</v>
      </c>
    </row>
    <row r="22">
      <c r="B22" s="2" t="inlineStr">
        <is>
          <t>Cash &amp; Equivalents</t>
        </is>
      </c>
      <c r="C22" s="10" t="n">
        <v>61555000000</v>
      </c>
    </row>
    <row r="23">
      <c r="B23" s="2" t="inlineStr">
        <is>
          <t>Capital Expenditures</t>
        </is>
      </c>
      <c r="C23" s="10" t="n">
        <v>9959000000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0.0956317795173484</v>
      </c>
    </row>
    <row r="29">
      <c r="B29" s="2" t="inlineStr">
        <is>
          <t>EBITDA Margin %</t>
        </is>
      </c>
      <c r="C29" s="11" t="n">
        <v>0.3274351983510965</v>
      </c>
    </row>
    <row r="30">
      <c r="B30" s="2" t="inlineStr">
        <is>
          <t>Entry EV/EBITDA Multiple</t>
        </is>
      </c>
      <c r="C30" s="12" t="n">
        <v>8</v>
      </c>
    </row>
    <row r="31">
      <c r="B31" s="2" t="inlineStr">
        <is>
          <t>Offer Premium %</t>
        </is>
      </c>
      <c r="C31" s="11" t="n">
        <v>0.25</v>
      </c>
    </row>
    <row r="32">
      <c r="B32" s="2" t="inlineStr">
        <is>
          <t>Leverage Multiple</t>
        </is>
      </c>
      <c r="C32" s="12" t="n">
        <v>5.5</v>
      </c>
    </row>
    <row r="33">
      <c r="B33" s="2" t="inlineStr">
        <is>
          <t>Interest Rate</t>
        </is>
      </c>
      <c r="C33" s="11" t="n">
        <v>0.08</v>
      </c>
    </row>
    <row r="34">
      <c r="B34" s="2" t="inlineStr">
        <is>
          <t>Tax Rate</t>
        </is>
      </c>
      <c r="C34" s="11" t="n">
        <v>0.25</v>
      </c>
    </row>
    <row r="35">
      <c r="B35" s="2" t="inlineStr">
        <is>
          <t>CapEx % of Revenue</t>
        </is>
      </c>
      <c r="C35" s="11" t="n">
        <v>0.0259832761522105</v>
      </c>
    </row>
    <row r="36">
      <c r="B36" s="2" t="inlineStr">
        <is>
          <t>D&amp;A % of Revenue</t>
        </is>
      </c>
      <c r="C36" s="11" t="n">
        <v>0.02922107570084924</v>
      </c>
    </row>
    <row r="37">
      <c r="B37" s="2" t="inlineStr">
        <is>
          <t>Change in NWC % of Revenue</t>
        </is>
      </c>
      <c r="C37" s="11" t="n">
        <v>0</v>
      </c>
    </row>
    <row r="38">
      <c r="B38" s="2" t="inlineStr">
        <is>
          <t>Exit Year</t>
        </is>
      </c>
      <c r="C38" s="13" t="n">
        <v>5</v>
      </c>
    </row>
    <row r="39">
      <c r="B39" s="6" t="inlineStr">
        <is>
          <t>Exit EV/EBITDA Multiple</t>
        </is>
      </c>
      <c r="C39" s="14">
        <f>C30</f>
        <v/>
      </c>
    </row>
    <row r="40">
      <c r="B40" s="2" t="inlineStr">
        <is>
          <t>Transaction Fee %</t>
        </is>
      </c>
      <c r="C40" s="11" t="n">
        <v>0.02</v>
      </c>
    </row>
    <row r="41">
      <c r="B41" s="2" t="inlineStr">
        <is>
          <t>Mandatory Amortization %</t>
        </is>
      </c>
      <c r="C41" s="11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5" t="inlineStr">
        <is>
          <t>Total Uses</t>
        </is>
      </c>
      <c r="C6" s="16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5" t="inlineStr">
        <is>
          <t>Total Sources</t>
        </is>
      </c>
      <c r="C14" s="16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2026-07-15T04:27:44Z</dcterms:created>
  <dcterms:modified xsi:type="dcterms:W3CDTF">2026-07-15T04:27:44Z</dcterms:modified>
</cp:coreProperties>
</file>