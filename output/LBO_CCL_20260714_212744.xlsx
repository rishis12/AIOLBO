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Sources &amp; Uses" sheetId="2" state="visible" r:id="rId2"/>
  </sheets>
  <definedNames>
    <definedName name="CurrentPrice">'Assumptions'!$C$9</definedName>
    <definedName name="SharesOutstanding">'Assumptions'!$C$10</definedName>
    <definedName name="MarketCap">'Assumptions'!$C$11</definedName>
    <definedName name="TotalDebt">'Assumptions'!$C$21</definedName>
    <definedName name="Cash">'Assumptions'!$C$22</definedName>
    <definedName name="CapEx">'Assumptions'!$C$23</definedName>
    <definedName name="RevenueGrowthRate">'Assumptions'!$C$28</definedName>
    <definedName name="EBITDAMargin">'Assumptions'!$C$29</definedName>
    <definedName name="EntryMultiple">'Assumptions'!$C$30</definedName>
    <definedName name="OfferPremium">'Assumptions'!$C$31</definedName>
    <definedName name="LeverageMultiple">'Assumptions'!$C$32</definedName>
    <definedName name="InterestRate">'Assumptions'!$C$33</definedName>
    <definedName name="TaxRate">'Assumptions'!$C$34</definedName>
    <definedName name="CapExPct">'Assumptions'!$C$35</definedName>
    <definedName name="DAPct">'Assumptions'!$C$36</definedName>
    <definedName name="NWCPct">'Assumptions'!$C$37</definedName>
    <definedName name="ExitYear">'Assumptions'!$C$38</definedName>
    <definedName name="ExitMultiple">'Assumptions'!$C$39</definedName>
    <definedName name="TransactionFeePct">'Assumptions'!$C$40</definedName>
    <definedName name="AmortizationPct">'Assumptions'!$C$41</definedName>
    <definedName name="EntryEBITDA">'Assumptions'!$C$18</definedName>
    <definedName name="TotalUses">'Sources &amp; Uses'!C6</definedName>
    <definedName name="NewDebtRaised">'Sources &amp; Uses'!C11</definedName>
    <definedName name="SponsorEquity">'Sources &amp; Uses'!C12</definedName>
    <definedName name="TotalSources">'Sources &amp; Uses'!C14</definedName>
    <definedName name="BalanceCheck">'Sources &amp; Uses'!C18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_($* #,##0_);_($* (#,##0);_($* &quot;-&quot;??_);_(@_)"/>
    <numFmt numFmtId="166" formatCode="0.0%"/>
    <numFmt numFmtId="167" formatCode="0.0&quot;x&quot;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0000CC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0000CC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165" fontId="3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6666"/>
          <bgColor rgb="00FF66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System</author>
  </authors>
  <commentList>
    <comment ref="C28" authorId="0" shapeId="0">
      <text>
        <t>Default: average of historical YoY growth rates</t>
      </text>
    </comment>
    <comment ref="C29" authorId="0" shapeId="0">
      <text>
        <t>Default: most recent FY EBITDA / Revenue</t>
      </text>
    </comment>
    <comment ref="C30" authorId="0" shapeId="0">
      <text>
        <t>Default: 8.0x placeholder — adjust based on sector comps</t>
      </text>
    </comment>
    <comment ref="C35" authorId="0" shapeId="0">
      <text>
        <t>Default: most recent FY CapEx / Revenue</t>
      </text>
    </comment>
    <comment ref="C36" authorId="0" shapeId="0">
      <text>
        <t>Default: most recent FY D&amp;A / Revenue</t>
      </text>
    </comment>
    <comment ref="C39" authorId="0" shapeId="0">
      <text>
        <t>Default: equals Entry Multiple (no expansion/contraction). Override with hardcoded value to model multiple expansion/contraction.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41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SECTION A: COMPANY DATA (Fetched from SEC EDGAR)</t>
        </is>
      </c>
    </row>
    <row r="3">
      <c r="B3" s="2" t="inlineStr">
        <is>
          <t>Company Name</t>
        </is>
      </c>
      <c r="C3" s="2" t="inlineStr">
        <is>
          <t>Carnival Corporation</t>
        </is>
      </c>
    </row>
    <row r="4">
      <c r="B4" s="2" t="inlineStr">
        <is>
          <t>Ticker</t>
        </is>
      </c>
      <c r="C4" s="2" t="inlineStr">
        <is>
          <t>CCL</t>
        </is>
      </c>
    </row>
    <row r="5">
      <c r="B5" s="2" t="inlineStr">
        <is>
          <t>CIK</t>
        </is>
      </c>
      <c r="C5" s="2" t="n">
        <v>815097</v>
      </c>
    </row>
    <row r="6">
      <c r="B6" s="2" t="inlineStr">
        <is>
          <t>SIC Code / Sector</t>
        </is>
      </c>
      <c r="C6" s="2" t="inlineStr">
        <is>
          <t>4481 - Deep Sea Foreign Transportation of Passengers</t>
        </is>
      </c>
    </row>
    <row r="8">
      <c r="B8" s="3" t="inlineStr">
        <is>
          <t>Market Data</t>
        </is>
      </c>
    </row>
    <row r="9">
      <c r="B9" s="2" t="inlineStr">
        <is>
          <t>Current Share Price</t>
        </is>
      </c>
      <c r="C9" s="4" t="n">
        <v>18.75</v>
      </c>
    </row>
    <row r="10">
      <c r="B10" s="2" t="inlineStr">
        <is>
          <t>Shares Outstanding</t>
        </is>
      </c>
      <c r="C10" s="5" t="n">
        <v>1270000000</v>
      </c>
    </row>
    <row r="11">
      <c r="B11" s="6" t="inlineStr">
        <is>
          <t>Market Cap</t>
        </is>
      </c>
      <c r="C11" s="7">
        <f>C9*C10</f>
        <v/>
      </c>
    </row>
    <row r="13">
      <c r="B13" s="3" t="inlineStr">
        <is>
          <t>Historical Financials (5-Year)</t>
        </is>
      </c>
    </row>
    <row r="14">
      <c r="B14" s="8" t="inlineStr">
        <is>
          <t>Metric</t>
        </is>
      </c>
      <c r="C14" s="9" t="inlineStr">
        <is>
          <t>FY2024</t>
        </is>
      </c>
      <c r="D14" s="9" t="inlineStr">
        <is>
          <t>FY2023</t>
        </is>
      </c>
      <c r="E14" s="9" t="inlineStr">
        <is>
          <t>FY2022</t>
        </is>
      </c>
      <c r="F14" s="9" t="inlineStr">
        <is>
          <t>FY2021</t>
        </is>
      </c>
      <c r="G14" s="9" t="inlineStr">
        <is>
          <t>FY2020</t>
        </is>
      </c>
    </row>
    <row r="15">
      <c r="B15" s="2" t="inlineStr">
        <is>
          <t>Revenue</t>
        </is>
      </c>
      <c r="C15" s="10" t="n">
        <v>24530000000</v>
      </c>
      <c r="D15" s="10" t="n">
        <v>21630000000</v>
      </c>
      <c r="E15" s="10" t="n">
        <v>12169000000</v>
      </c>
      <c r="F15" s="10" t="n">
        <v>1908000000</v>
      </c>
      <c r="G15" s="10" t="n">
        <v>5595000000</v>
      </c>
    </row>
    <row r="16">
      <c r="B16" s="2" t="inlineStr">
        <is>
          <t>Operating Income</t>
        </is>
      </c>
      <c r="C16" s="10" t="n">
        <v>3265000000</v>
      </c>
      <c r="D16" s="10" t="n">
        <v>1958000000</v>
      </c>
      <c r="E16" s="10" t="n">
        <v>-3865000000</v>
      </c>
      <c r="F16" s="10" t="n">
        <v>-7810000000</v>
      </c>
      <c r="G16" s="10" t="n">
        <v>-8878000000</v>
      </c>
    </row>
    <row r="17">
      <c r="B17" s="2" t="inlineStr">
        <is>
          <t>D&amp;A</t>
        </is>
      </c>
      <c r="C17" s="10" t="n">
        <v>2800000000</v>
      </c>
      <c r="D17" s="10" t="n">
        <v>2600000000</v>
      </c>
      <c r="E17" s="10" t="n">
        <v>2500000000</v>
      </c>
      <c r="F17" s="10" t="n">
        <v>2380000000</v>
      </c>
      <c r="G17" s="10" t="n">
        <v>2340000000</v>
      </c>
    </row>
    <row r="18">
      <c r="B18" s="6" t="inlineStr">
        <is>
          <t>EBITDA (Calculated)</t>
        </is>
      </c>
      <c r="C18" s="7">
        <f>C16+C17</f>
        <v/>
      </c>
      <c r="D18" s="7">
        <f>D16+D17</f>
        <v/>
      </c>
      <c r="E18" s="7">
        <f>E16+E17</f>
        <v/>
      </c>
      <c r="F18" s="7">
        <f>F16+F17</f>
        <v/>
      </c>
      <c r="G18" s="7">
        <f>G16+G17</f>
        <v/>
      </c>
    </row>
    <row r="20">
      <c r="B20" s="3" t="inlineStr">
        <is>
          <t>Most Recent Balance Sheet Items</t>
        </is>
      </c>
    </row>
    <row r="21">
      <c r="B21" s="2" t="inlineStr">
        <is>
          <t>Total Debt</t>
        </is>
      </c>
      <c r="C21" s="10" t="n">
        <v>31500000000</v>
      </c>
    </row>
    <row r="22">
      <c r="B22" s="2" t="inlineStr">
        <is>
          <t>Cash &amp; Equivalents</t>
        </is>
      </c>
      <c r="C22" s="10" t="n">
        <v>1850000000</v>
      </c>
    </row>
    <row r="23">
      <c r="B23" s="2" t="inlineStr">
        <is>
          <t>Capital Expenditures</t>
        </is>
      </c>
      <c r="C23" s="10" t="n">
        <v>4200000000</v>
      </c>
    </row>
    <row r="26">
      <c r="B26" s="1" t="inlineStr">
        <is>
          <t>SECTION B: DEAL ASSUMPTIONS (User Inputs)</t>
        </is>
      </c>
    </row>
    <row r="28">
      <c r="B28" s="2" t="inlineStr">
        <is>
          <t>Revenue Growth Rate</t>
        </is>
      </c>
      <c r="C28" s="11" t="n">
        <v>1.407610437015697</v>
      </c>
    </row>
    <row r="29">
      <c r="B29" s="2" t="inlineStr">
        <is>
          <t>EBITDA Margin %</t>
        </is>
      </c>
      <c r="C29" s="11" t="n">
        <v>0.2472482674276396</v>
      </c>
    </row>
    <row r="30">
      <c r="B30" s="2" t="inlineStr">
        <is>
          <t>Entry EV/EBITDA Multiple</t>
        </is>
      </c>
      <c r="C30" s="12" t="n">
        <v>8</v>
      </c>
    </row>
    <row r="31">
      <c r="B31" s="2" t="inlineStr">
        <is>
          <t>Offer Premium %</t>
        </is>
      </c>
      <c r="C31" s="11" t="n">
        <v>0.25</v>
      </c>
    </row>
    <row r="32">
      <c r="B32" s="2" t="inlineStr">
        <is>
          <t>Leverage Multiple</t>
        </is>
      </c>
      <c r="C32" s="12" t="n">
        <v>5.5</v>
      </c>
    </row>
    <row r="33">
      <c r="B33" s="2" t="inlineStr">
        <is>
          <t>Interest Rate</t>
        </is>
      </c>
      <c r="C33" s="11" t="n">
        <v>0.08</v>
      </c>
    </row>
    <row r="34">
      <c r="B34" s="2" t="inlineStr">
        <is>
          <t>Tax Rate</t>
        </is>
      </c>
      <c r="C34" s="11" t="n">
        <v>0.25</v>
      </c>
    </row>
    <row r="35">
      <c r="B35" s="2" t="inlineStr">
        <is>
          <t>CapEx % of Revenue</t>
        </is>
      </c>
      <c r="C35" s="11" t="n">
        <v>0.1712189156135344</v>
      </c>
    </row>
    <row r="36">
      <c r="B36" s="2" t="inlineStr">
        <is>
          <t>D&amp;A % of Revenue</t>
        </is>
      </c>
      <c r="C36" s="11" t="n">
        <v>0.1141459437423563</v>
      </c>
    </row>
    <row r="37">
      <c r="B37" s="2" t="inlineStr">
        <is>
          <t>Change in NWC % of Revenue</t>
        </is>
      </c>
      <c r="C37" s="11" t="n">
        <v>0</v>
      </c>
    </row>
    <row r="38">
      <c r="B38" s="2" t="inlineStr">
        <is>
          <t>Exit Year</t>
        </is>
      </c>
      <c r="C38" s="13" t="n">
        <v>5</v>
      </c>
    </row>
    <row r="39">
      <c r="B39" s="6" t="inlineStr">
        <is>
          <t>Exit EV/EBITDA Multiple</t>
        </is>
      </c>
      <c r="C39" s="14">
        <f>C30</f>
        <v/>
      </c>
    </row>
    <row r="40">
      <c r="B40" s="2" t="inlineStr">
        <is>
          <t>Transaction Fee %</t>
        </is>
      </c>
      <c r="C40" s="11" t="n">
        <v>0.02</v>
      </c>
    </row>
    <row r="41">
      <c r="B41" s="2" t="inlineStr">
        <is>
          <t>Mandatory Amortization %</t>
        </is>
      </c>
      <c r="C41" s="11" t="n">
        <v>0.01</v>
      </c>
    </row>
  </sheetData>
  <mergeCells count="5">
    <mergeCell ref="B20:C20"/>
    <mergeCell ref="B1:G1"/>
    <mergeCell ref="B26:D26"/>
    <mergeCell ref="B13:G13"/>
    <mergeCell ref="B8:C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1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15" customWidth="1" min="4" max="4"/>
  </cols>
  <sheetData>
    <row r="1">
      <c r="B1" s="1" t="inlineStr">
        <is>
          <t>USES OF FUNDS</t>
        </is>
      </c>
    </row>
    <row r="3">
      <c r="B3" s="6" t="inlineStr">
        <is>
          <t>Purchase Enterprise Value</t>
        </is>
      </c>
      <c r="C3" s="7">
        <f>EntryEBITDA*EntryMultiple</f>
        <v/>
      </c>
    </row>
    <row r="4">
      <c r="B4" s="6" t="inlineStr">
        <is>
          <t>Transaction Fees</t>
        </is>
      </c>
      <c r="C4" s="7">
        <f>C3*TransactionFeePct</f>
        <v/>
      </c>
    </row>
    <row r="6">
      <c r="B6" s="15" t="inlineStr">
        <is>
          <t>Total Uses</t>
        </is>
      </c>
      <c r="C6" s="16">
        <f>C3+C4</f>
        <v/>
      </c>
    </row>
    <row r="9">
      <c r="B9" s="1" t="inlineStr">
        <is>
          <t>SOURCES OF FUNDS</t>
        </is>
      </c>
    </row>
    <row r="11">
      <c r="B11" s="6" t="inlineStr">
        <is>
          <t>New Debt Raised</t>
        </is>
      </c>
      <c r="C11" s="7">
        <f>EntryEBITDA*LeverageMultiple</f>
        <v/>
      </c>
    </row>
    <row r="12">
      <c r="B12" s="6" t="inlineStr">
        <is>
          <t>Sponsor Equity Check</t>
        </is>
      </c>
      <c r="C12" s="7">
        <f>C6-C11</f>
        <v/>
      </c>
    </row>
    <row r="14">
      <c r="B14" s="15" t="inlineStr">
        <is>
          <t>Total Sources</t>
        </is>
      </c>
      <c r="C14" s="16">
        <f>C11+C12</f>
        <v/>
      </c>
    </row>
    <row r="17">
      <c r="B17" s="3" t="inlineStr">
        <is>
          <t>Balance Check</t>
        </is>
      </c>
    </row>
    <row r="18">
      <c r="B18" s="6" t="inlineStr">
        <is>
          <t>Sources - Uses (should = 0)</t>
        </is>
      </c>
      <c r="C18" s="7">
        <f>C14-C6</f>
        <v/>
      </c>
    </row>
  </sheetData>
  <mergeCells count="3">
    <mergeCell ref="B9:C9"/>
    <mergeCell ref="B1:C1"/>
    <mergeCell ref="B17:C17"/>
  </mergeCells>
  <conditionalFormatting sqref="C18">
    <cfRule type="expression" priority="1" dxfId="0">
      <formula>C18&lt;&gt;0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2026-07-15T04:27:44Z</dcterms:created>
  <dcterms:modified xsi:type="dcterms:W3CDTF">2026-07-15T04:27:44Z</dcterms:modified>
</cp:coreProperties>
</file>